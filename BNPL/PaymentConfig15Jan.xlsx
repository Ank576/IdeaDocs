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vezy-my.sharepoint.com/personal/ankit_saxena1_solvezy_com/Documents/Ankit_Saxena/Excels/"/>
    </mc:Choice>
  </mc:AlternateContent>
  <xr:revisionPtr revIDLastSave="298" documentId="8_{DF9FB9B8-EEC7-4E7E-8154-5C4D2BF857B2}" xr6:coauthVersionLast="47" xr6:coauthVersionMax="47" xr10:uidLastSave="{3C702D2E-B2CA-4C54-8378-CD5C615A882B}"/>
  <bookViews>
    <workbookView xWindow="-110" yWindow="-110" windowWidth="19420" windowHeight="10420" firstSheet="1" activeTab="2" xr2:uid="{00000000-000D-0000-FFFF-FFFF00000000}"/>
  </bookViews>
  <sheets>
    <sheet name="About" sheetId="2" r:id="rId1"/>
    <sheet name="PaymentConfiguration" sheetId="3" r:id="rId2"/>
    <sheet name="Sheet10" sheetId="15" r:id="rId3"/>
    <sheet name="Sheet9" sheetId="14" r:id="rId4"/>
    <sheet name="18Jan" sheetId="13" r:id="rId5"/>
    <sheet name="Sheet1" sheetId="10" state="hidden" r:id="rId6"/>
    <sheet name="Sheet3" sheetId="11" state="hidden" r:id="rId7"/>
    <sheet name="15Jan" sheetId="8" r:id="rId8"/>
    <sheet name="Sheet6" sheetId="12" r:id="rId9"/>
    <sheet name="Sheet7" sheetId="9" state="hidden" r:id="rId10"/>
    <sheet name="Sheet5" sheetId="7" state="hidden" r:id="rId11"/>
    <sheet name="Sheet4" sheetId="6" state="hidden" r:id="rId12"/>
    <sheet name="SOLVConfig" sheetId="5" r:id="rId13"/>
    <sheet name="Sheet2" sheetId="4" state="hidden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9" l="1"/>
  <c r="H15" i="9"/>
  <c r="H16" i="9" s="1"/>
  <c r="H5" i="9"/>
  <c r="H6" i="9" s="1"/>
  <c r="F7" i="7"/>
  <c r="F6" i="7"/>
</calcChain>
</file>

<file path=xl/sharedStrings.xml><?xml version="1.0" encoding="utf-8"?>
<sst xmlns="http://schemas.openxmlformats.org/spreadsheetml/2006/main" count="247" uniqueCount="177">
  <si>
    <t>Created on:</t>
  </si>
  <si>
    <t>11 Jan 24 08:44 UTC</t>
  </si>
  <si>
    <t>Jira Site:</t>
  </si>
  <si>
    <t>https://solvindia.atlassian.net</t>
  </si>
  <si>
    <t>Jira Query:</t>
  </si>
  <si>
    <t>"Epic Link"=ATLAS-2112 OR "Parent Link"=ATLAS-2112 ORDER BY rank</t>
  </si>
  <si>
    <t>#</t>
  </si>
  <si>
    <t>Particulars</t>
  </si>
  <si>
    <t>Advance Configured</t>
  </si>
  <si>
    <t>BNPL</t>
  </si>
  <si>
    <t xml:space="preserve">Full Payment </t>
  </si>
  <si>
    <t xml:space="preserve">5% Online </t>
  </si>
  <si>
    <t>95% COD</t>
  </si>
  <si>
    <t>No Advance Configured</t>
  </si>
  <si>
    <t>COD</t>
  </si>
  <si>
    <t>FTL Order</t>
  </si>
  <si>
    <t>Advance Payment</t>
  </si>
  <si>
    <t>5% online after confirmation</t>
  </si>
  <si>
    <t>Full payment at once</t>
  </si>
  <si>
    <t>again COD+POD option provided</t>
  </si>
  <si>
    <t>Exception case</t>
  </si>
  <si>
    <t>NO configuration done</t>
  </si>
  <si>
    <t>Checkout</t>
  </si>
  <si>
    <t xml:space="preserve">Retail Bulk </t>
  </si>
  <si>
    <t>5% online + COD/POD</t>
  </si>
  <si>
    <t xml:space="preserve">100% online </t>
  </si>
  <si>
    <t>Advance not configured</t>
  </si>
  <si>
    <t>Full Payment</t>
  </si>
  <si>
    <t>Checkout 100%</t>
  </si>
  <si>
    <t>Retail / Bulk (&lt;2L)</t>
  </si>
  <si>
    <t>Advance config. Order value (&gt;2 Lac ; NO FTL)</t>
  </si>
  <si>
    <t>Partial Payment + POD</t>
  </si>
  <si>
    <t>Online 100%</t>
  </si>
  <si>
    <t xml:space="preserve">Retail </t>
  </si>
  <si>
    <t>Bulk</t>
  </si>
  <si>
    <t>FTL</t>
  </si>
  <si>
    <t>&lt;50k</t>
  </si>
  <si>
    <t>50k - 2lac</t>
  </si>
  <si>
    <t>&gt;3lac</t>
  </si>
  <si>
    <t>2lac-3lac</t>
  </si>
  <si>
    <t>TBD with compliance</t>
  </si>
  <si>
    <t>COD serviceability (5% advance+POD)</t>
  </si>
  <si>
    <t>COD Serviceabilituy check to be reconfirmed</t>
  </si>
  <si>
    <t>95% POD (payment online via APP)</t>
  </si>
  <si>
    <t>Full Payment (at checkout)</t>
  </si>
  <si>
    <t>(TBD checkout payment whether advance or full config)</t>
  </si>
  <si>
    <t>No advance config</t>
  </si>
  <si>
    <t>COD Serviceability (3P Logistics TBD)</t>
  </si>
  <si>
    <t>Order &gt;2 lac NO FTL</t>
  </si>
  <si>
    <t>ONLINE</t>
  </si>
  <si>
    <t>RTS</t>
  </si>
  <si>
    <t>Partial Payment (% Advance required)(CheckOut)</t>
  </si>
  <si>
    <t>All order - go for CONFIRMATION then payment except BNPL</t>
  </si>
  <si>
    <t>Post Confirmation</t>
  </si>
  <si>
    <t>Order Config</t>
  </si>
  <si>
    <t>R/B/FTL</t>
  </si>
  <si>
    <t>Payment config</t>
  </si>
  <si>
    <t>Adv/Invoice</t>
  </si>
  <si>
    <t>TAT</t>
  </si>
  <si>
    <t>Retail</t>
  </si>
  <si>
    <t>CE</t>
  </si>
  <si>
    <t>N/A</t>
  </si>
  <si>
    <t>SOLV Config</t>
  </si>
  <si>
    <t>FMCG</t>
  </si>
  <si>
    <t>SOFTLINE</t>
  </si>
  <si>
    <t>2,00,000</t>
  </si>
  <si>
    <t>Payment Config</t>
  </si>
  <si>
    <t>Adv</t>
  </si>
  <si>
    <t>Inv</t>
  </si>
  <si>
    <t>Grocery</t>
  </si>
  <si>
    <t>-</t>
  </si>
  <si>
    <t>Current</t>
  </si>
  <si>
    <t>homefurnishing</t>
  </si>
  <si>
    <t xml:space="preserve">POST Confirmation </t>
  </si>
  <si>
    <t>TBD</t>
  </si>
  <si>
    <t>GOING FORWARD</t>
  </si>
  <si>
    <t>POD</t>
  </si>
  <si>
    <t xml:space="preserve">Advance </t>
  </si>
  <si>
    <t>Buyer Collectible</t>
  </si>
  <si>
    <t>Compliance for amount as POD/COD</t>
  </si>
  <si>
    <t>Invoice generation TAT config</t>
  </si>
  <si>
    <t>Advance Payment compliance related in terms of order fulfilment</t>
  </si>
  <si>
    <t>15/01</t>
  </si>
  <si>
    <t>Points</t>
  </si>
  <si>
    <t>Operational efficiecny improvement via payment processing and auto refund flag</t>
  </si>
  <si>
    <t>Refund TAT from banking partners</t>
  </si>
  <si>
    <t>Subvention</t>
  </si>
  <si>
    <t>ICICI</t>
  </si>
  <si>
    <t xml:space="preserve">SOLV coupon </t>
  </si>
  <si>
    <t>cat</t>
  </si>
  <si>
    <t>pincode</t>
  </si>
  <si>
    <t>platfomr</t>
  </si>
  <si>
    <t>PG</t>
  </si>
  <si>
    <t>SOLV123</t>
  </si>
  <si>
    <t>Description</t>
  </si>
  <si>
    <t>NAME</t>
  </si>
  <si>
    <t>CODE</t>
  </si>
  <si>
    <t>CART</t>
  </si>
  <si>
    <t>instant</t>
  </si>
  <si>
    <t xml:space="preserve">subvention </t>
  </si>
  <si>
    <t>3PL Collectibles</t>
  </si>
  <si>
    <t>Scheme</t>
  </si>
  <si>
    <t>Date</t>
  </si>
  <si>
    <t>End</t>
  </si>
  <si>
    <t>Extension raise</t>
  </si>
  <si>
    <t>End Date</t>
  </si>
  <si>
    <t>Opt in</t>
  </si>
  <si>
    <t>Opt In expiry</t>
  </si>
  <si>
    <t>Live Date</t>
  </si>
  <si>
    <t xml:space="preserve">Notification </t>
  </si>
  <si>
    <t>OPT IN TRUE - ORGINAL</t>
  </si>
  <si>
    <t>Seller 1</t>
  </si>
  <si>
    <t>Seller 2</t>
  </si>
  <si>
    <t>Extension notification</t>
  </si>
  <si>
    <t>31st March - End Date</t>
  </si>
  <si>
    <t xml:space="preserve">Extended </t>
  </si>
  <si>
    <t>Accepted</t>
  </si>
  <si>
    <t>Extension Notification</t>
  </si>
  <si>
    <t>Seller 3</t>
  </si>
  <si>
    <t>Original notification</t>
  </si>
  <si>
    <t xml:space="preserve">NO EXTENSION </t>
  </si>
  <si>
    <t>EXPIRE</t>
  </si>
  <si>
    <t>Extension 2</t>
  </si>
  <si>
    <t>Extension 2 End</t>
  </si>
  <si>
    <t xml:space="preserve">Extension 2 notifixation </t>
  </si>
  <si>
    <t>No Extension 2 Notification</t>
  </si>
  <si>
    <t>No extension notifiation</t>
  </si>
  <si>
    <t>Orginial</t>
  </si>
  <si>
    <t>New Date</t>
  </si>
  <si>
    <t>Extension 1</t>
  </si>
  <si>
    <t>End date</t>
  </si>
  <si>
    <t>Notification</t>
  </si>
  <si>
    <t>Original</t>
  </si>
  <si>
    <t>TRU</t>
  </si>
  <si>
    <t>Ex1</t>
  </si>
  <si>
    <t>Ex2</t>
  </si>
  <si>
    <t>FAL</t>
  </si>
  <si>
    <t xml:space="preserve">Current </t>
  </si>
  <si>
    <t>Online</t>
  </si>
  <si>
    <t>Advance 5%</t>
  </si>
  <si>
    <t xml:space="preserve">5% at Checkout </t>
  </si>
  <si>
    <t>Order 1</t>
  </si>
  <si>
    <t>95% Checkout</t>
  </si>
  <si>
    <t>Full Payment (Online)</t>
  </si>
  <si>
    <t>New</t>
  </si>
  <si>
    <t>Order Value</t>
  </si>
  <si>
    <t>Post Seller Confirmation</t>
  </si>
  <si>
    <t>expedite refund process</t>
  </si>
  <si>
    <t>PINCODE</t>
  </si>
  <si>
    <t>YES</t>
  </si>
  <si>
    <t>NO</t>
  </si>
  <si>
    <t>COD Serviceability</t>
  </si>
  <si>
    <t>POD (advance required)</t>
  </si>
  <si>
    <t>10 Lac</t>
  </si>
  <si>
    <t>Parent Order</t>
  </si>
  <si>
    <t>Child Order</t>
  </si>
  <si>
    <t>Scenario</t>
  </si>
  <si>
    <t>9 Lac</t>
  </si>
  <si>
    <t>1 Lac</t>
  </si>
  <si>
    <t>Payment Page</t>
  </si>
  <si>
    <t xml:space="preserve">Advance Configuration </t>
  </si>
  <si>
    <t>Auth Checkout</t>
  </si>
  <si>
    <t>Checkout confirmation order</t>
  </si>
  <si>
    <t>INVOICE Generated</t>
  </si>
  <si>
    <t>Invent</t>
  </si>
  <si>
    <t>Service</t>
  </si>
  <si>
    <t>Confirm</t>
  </si>
  <si>
    <t xml:space="preserve">Seller </t>
  </si>
  <si>
    <t>Payment method</t>
  </si>
  <si>
    <t>Advance %</t>
  </si>
  <si>
    <t>Online Payment Pending</t>
  </si>
  <si>
    <t>Invoice</t>
  </si>
  <si>
    <t>Partial Payment (%Adv req) (COD)</t>
  </si>
  <si>
    <t xml:space="preserve">Buyer </t>
  </si>
  <si>
    <t>parent</t>
  </si>
  <si>
    <t>child</t>
  </si>
  <si>
    <t>red 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</si>
</sst>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Open Sans"/>
      <family val="2"/>
    </font>
    <font>
      <b/>
      <sz val="10"/>
      <color rgb="FF33333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9" xfId="0" applyBorder="1"/>
    <xf numFmtId="0" fontId="0" fillId="2" borderId="3" xfId="0" applyFill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2" xfId="0" applyFont="1" applyBorder="1"/>
    <xf numFmtId="0" fontId="0" fillId="0" borderId="22" xfId="0" applyBorder="1"/>
    <xf numFmtId="0" fontId="0" fillId="0" borderId="17" xfId="0" applyBorder="1"/>
    <xf numFmtId="0" fontId="0" fillId="0" borderId="5" xfId="0" applyBorder="1"/>
    <xf numFmtId="0" fontId="0" fillId="0" borderId="10" xfId="0" applyBorder="1"/>
    <xf numFmtId="0" fontId="0" fillId="0" borderId="7" xfId="0" applyBorder="1"/>
    <xf numFmtId="0" fontId="0" fillId="2" borderId="0" xfId="0" applyFill="1"/>
    <xf numFmtId="0" fontId="0" fillId="2" borderId="25" xfId="0" applyFill="1" applyBorder="1"/>
    <xf numFmtId="0" fontId="0" fillId="2" borderId="26" xfId="0" applyFill="1" applyBorder="1"/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8" xfId="0" applyFill="1" applyBorder="1"/>
    <xf numFmtId="0" fontId="0" fillId="2" borderId="27" xfId="0" applyFill="1" applyBorder="1"/>
    <xf numFmtId="0" fontId="2" fillId="0" borderId="0" xfId="0" applyFont="1"/>
    <xf numFmtId="0" fontId="0" fillId="2" borderId="16" xfId="0" applyFill="1" applyBorder="1"/>
    <xf numFmtId="9" fontId="0" fillId="0" borderId="0" xfId="0" applyNumberFormat="1" applyAlignment="1">
      <alignment horizontal="left"/>
    </xf>
    <xf numFmtId="0" fontId="0" fillId="2" borderId="18" xfId="0" applyFill="1" applyBorder="1" applyAlignment="1">
      <alignment horizontal="center"/>
    </xf>
    <xf numFmtId="0" fontId="0" fillId="0" borderId="16" xfId="0" applyBorder="1" applyAlignment="1">
      <alignment horizontal="center"/>
    </xf>
    <xf numFmtId="9" fontId="0" fillId="0" borderId="28" xfId="0" applyNumberFormat="1" applyBorder="1" applyAlignment="1">
      <alignment horizontal="left"/>
    </xf>
    <xf numFmtId="0" fontId="0" fillId="2" borderId="25" xfId="0" applyFill="1" applyBorder="1" applyAlignment="1">
      <alignment horizontal="center"/>
    </xf>
    <xf numFmtId="0" fontId="0" fillId="3" borderId="0" xfId="0" applyFill="1"/>
    <xf numFmtId="0" fontId="0" fillId="0" borderId="18" xfId="0" applyBorder="1"/>
    <xf numFmtId="2" fontId="0" fillId="2" borderId="25" xfId="0" applyNumberFormat="1" applyFill="1" applyBorder="1" applyAlignment="1">
      <alignment horizontal="center"/>
    </xf>
    <xf numFmtId="2" fontId="0" fillId="2" borderId="27" xfId="0" applyNumberFormat="1" applyFill="1" applyBorder="1"/>
    <xf numFmtId="2" fontId="0" fillId="2" borderId="26" xfId="0" applyNumberFormat="1" applyFill="1" applyBorder="1" applyAlignment="1">
      <alignment horizontal="left"/>
    </xf>
    <xf numFmtId="2" fontId="0" fillId="2" borderId="26" xfId="0" applyNumberFormat="1" applyFill="1" applyBorder="1"/>
    <xf numFmtId="0" fontId="0" fillId="2" borderId="14" xfId="0" applyFill="1" applyBorder="1"/>
    <xf numFmtId="0" fontId="0" fillId="4" borderId="9" xfId="0" applyFill="1" applyBorder="1"/>
    <xf numFmtId="0" fontId="0" fillId="0" borderId="32" xfId="0" applyBorder="1"/>
    <xf numFmtId="0" fontId="0" fillId="3" borderId="32" xfId="0" applyFill="1" applyBorder="1"/>
    <xf numFmtId="0" fontId="1" fillId="2" borderId="35" xfId="0" applyFont="1" applyFill="1" applyBorder="1" applyAlignment="1">
      <alignment horizontal="center"/>
    </xf>
    <xf numFmtId="0" fontId="1" fillId="2" borderId="36" xfId="0" applyFont="1" applyFill="1" applyBorder="1"/>
    <xf numFmtId="0" fontId="0" fillId="0" borderId="1" xfId="0" applyBorder="1" applyAlignment="1">
      <alignment horizontal="center"/>
    </xf>
    <xf numFmtId="0" fontId="0" fillId="0" borderId="38" xfId="0" applyBorder="1"/>
    <xf numFmtId="0" fontId="0" fillId="0" borderId="39" xfId="0" applyBorder="1"/>
    <xf numFmtId="0" fontId="0" fillId="0" borderId="40" xfId="0" applyBorder="1"/>
    <xf numFmtId="0" fontId="0" fillId="0" borderId="6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9" fontId="1" fillId="0" borderId="8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9" fontId="0" fillId="0" borderId="3" xfId="0" applyNumberFormat="1" applyBorder="1" applyAlignment="1">
      <alignment horizontal="left"/>
    </xf>
    <xf numFmtId="9" fontId="0" fillId="0" borderId="6" xfId="0" applyNumberFormat="1" applyBorder="1" applyAlignment="1">
      <alignment horizontal="left"/>
    </xf>
    <xf numFmtId="9" fontId="0" fillId="0" borderId="8" xfId="0" applyNumberFormat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0" fillId="3" borderId="7" xfId="0" applyFill="1" applyBorder="1"/>
    <xf numFmtId="0" fontId="0" fillId="0" borderId="25" xfId="0" applyBorder="1" applyAlignment="1">
      <alignment horizontal="center"/>
    </xf>
    <xf numFmtId="0" fontId="0" fillId="0" borderId="27" xfId="0" applyBorder="1"/>
    <xf numFmtId="9" fontId="0" fillId="0" borderId="26" xfId="0" applyNumberFormat="1" applyBorder="1" applyAlignment="1">
      <alignment horizontal="left"/>
    </xf>
    <xf numFmtId="0" fontId="0" fillId="0" borderId="8" xfId="0" applyBorder="1"/>
    <xf numFmtId="0" fontId="0" fillId="3" borderId="10" xfId="0" applyFill="1" applyBorder="1"/>
    <xf numFmtId="0" fontId="0" fillId="2" borderId="45" xfId="0" applyFill="1" applyBorder="1" applyAlignment="1">
      <alignment horizontal="center"/>
    </xf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4" borderId="8" xfId="0" applyFill="1" applyBorder="1"/>
    <xf numFmtId="0" fontId="0" fillId="0" borderId="49" xfId="0" applyBorder="1"/>
    <xf numFmtId="0" fontId="0" fillId="4" borderId="39" xfId="0" applyFill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2" borderId="50" xfId="0" applyFill="1" applyBorder="1" applyAlignment="1">
      <alignment horizontal="center"/>
    </xf>
    <xf numFmtId="0" fontId="0" fillId="2" borderId="51" xfId="0" applyFill="1" applyBorder="1" applyAlignment="1">
      <alignment horizontal="center"/>
    </xf>
    <xf numFmtId="0" fontId="0" fillId="0" borderId="52" xfId="0" applyBorder="1"/>
    <xf numFmtId="0" fontId="0" fillId="4" borderId="53" xfId="0" applyFill="1" applyBorder="1"/>
    <xf numFmtId="0" fontId="0" fillId="0" borderId="30" xfId="0" applyBorder="1"/>
    <xf numFmtId="0" fontId="0" fillId="0" borderId="29" xfId="0" applyBorder="1"/>
    <xf numFmtId="0" fontId="0" fillId="0" borderId="37" xfId="0" applyBorder="1"/>
    <xf numFmtId="0" fontId="0" fillId="2" borderId="6" xfId="0" applyFill="1" applyBorder="1"/>
    <xf numFmtId="0" fontId="0" fillId="2" borderId="8" xfId="0" applyFill="1" applyBorder="1"/>
    <xf numFmtId="0" fontId="1" fillId="0" borderId="11" xfId="0" applyFont="1" applyBorder="1"/>
    <xf numFmtId="0" fontId="0" fillId="0" borderId="42" xfId="0" applyBorder="1"/>
    <xf numFmtId="0" fontId="0" fillId="3" borderId="19" xfId="0" applyFill="1" applyBorder="1"/>
    <xf numFmtId="0" fontId="0" fillId="3" borderId="21" xfId="0" applyFill="1" applyBorder="1"/>
    <xf numFmtId="0" fontId="3" fillId="0" borderId="0" xfId="0" applyFont="1" applyAlignment="1">
      <alignment horizontal="center"/>
    </xf>
    <xf numFmtId="0" fontId="1" fillId="2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0" fillId="4" borderId="31" xfId="0" applyFill="1" applyBorder="1"/>
    <xf numFmtId="0" fontId="1" fillId="4" borderId="24" xfId="0" applyFont="1" applyFill="1" applyBorder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horizontal="center"/>
    </xf>
    <xf numFmtId="0" fontId="1" fillId="5" borderId="0" xfId="0" applyFont="1" applyFill="1"/>
    <xf numFmtId="0" fontId="0" fillId="5" borderId="0" xfId="0" applyFill="1" applyAlignment="1">
      <alignment horizontal="center"/>
    </xf>
    <xf numFmtId="0" fontId="0" fillId="5" borderId="31" xfId="0" applyFill="1" applyBorder="1" applyAlignment="1">
      <alignment horizontal="center"/>
    </xf>
    <xf numFmtId="0" fontId="0" fillId="5" borderId="0" xfId="0" applyFill="1"/>
    <xf numFmtId="9" fontId="0" fillId="5" borderId="0" xfId="0" applyNumberFormat="1" applyFill="1" applyAlignment="1">
      <alignment horizontal="center"/>
    </xf>
    <xf numFmtId="0" fontId="1" fillId="6" borderId="0" xfId="0" applyFont="1" applyFill="1"/>
    <xf numFmtId="3" fontId="1" fillId="2" borderId="0" xfId="0" applyNumberFormat="1" applyFont="1" applyFill="1" applyAlignment="1">
      <alignment horizontal="center"/>
    </xf>
    <xf numFmtId="0" fontId="1" fillId="7" borderId="27" xfId="0" applyFont="1" applyFill="1" applyBorder="1"/>
    <xf numFmtId="0" fontId="0" fillId="0" borderId="33" xfId="0" applyBorder="1"/>
    <xf numFmtId="0" fontId="0" fillId="0" borderId="34" xfId="0" applyBorder="1"/>
    <xf numFmtId="0" fontId="1" fillId="7" borderId="2" xfId="0" applyFon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4" borderId="0" xfId="0" applyFont="1" applyFill="1"/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14" xfId="0" applyBorder="1" applyAlignment="1">
      <alignment horizontal="center"/>
    </xf>
    <xf numFmtId="16" fontId="0" fillId="0" borderId="0" xfId="0" applyNumberFormat="1"/>
    <xf numFmtId="16" fontId="1" fillId="2" borderId="0" xfId="0" applyNumberFormat="1" applyFont="1" applyFill="1"/>
    <xf numFmtId="0" fontId="0" fillId="8" borderId="0" xfId="0" applyFill="1" applyAlignment="1">
      <alignment horizontal="center"/>
    </xf>
    <xf numFmtId="16" fontId="0" fillId="0" borderId="1" xfId="0" applyNumberFormat="1" applyBorder="1"/>
    <xf numFmtId="0" fontId="0" fillId="8" borderId="1" xfId="0" applyFill="1" applyBorder="1" applyAlignment="1">
      <alignment horizontal="center"/>
    </xf>
    <xf numFmtId="0" fontId="0" fillId="3" borderId="1" xfId="0" applyFill="1" applyBorder="1"/>
    <xf numFmtId="16" fontId="1" fillId="2" borderId="1" xfId="0" applyNumberFormat="1" applyFont="1" applyFill="1" applyBorder="1"/>
    <xf numFmtId="0" fontId="0" fillId="3" borderId="1" xfId="0" applyFill="1" applyBorder="1" applyAlignment="1">
      <alignment horizontal="center"/>
    </xf>
    <xf numFmtId="16" fontId="0" fillId="0" borderId="1" xfId="0" applyNumberForma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8" borderId="4" xfId="0" applyFont="1" applyFill="1" applyBorder="1" applyAlignment="1">
      <alignment horizontal="center"/>
    </xf>
    <xf numFmtId="0" fontId="1" fillId="2" borderId="6" xfId="0" applyFont="1" applyFill="1" applyBorder="1"/>
    <xf numFmtId="16" fontId="0" fillId="0" borderId="9" xfId="0" applyNumberFormat="1" applyBorder="1"/>
    <xf numFmtId="0" fontId="0" fillId="8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19" xfId="0" applyFont="1" applyBorder="1"/>
    <xf numFmtId="0" fontId="1" fillId="0" borderId="21" xfId="0" applyFont="1" applyBorder="1"/>
    <xf numFmtId="0" fontId="0" fillId="0" borderId="54" xfId="0" applyBorder="1"/>
    <xf numFmtId="0" fontId="1" fillId="0" borderId="2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57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53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1" fillId="2" borderId="19" xfId="0" applyFont="1" applyFill="1" applyBorder="1"/>
    <xf numFmtId="0" fontId="1" fillId="0" borderId="33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0" fillId="4" borderId="25" xfId="0" applyFill="1" applyBorder="1"/>
    <xf numFmtId="0" fontId="0" fillId="4" borderId="26" xfId="0" applyFill="1" applyBorder="1"/>
    <xf numFmtId="0" fontId="0" fillId="2" borderId="0" xfId="0" applyFill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39" xfId="0" applyFont="1" applyFill="1" applyBorder="1"/>
    <xf numFmtId="0" fontId="1" fillId="4" borderId="6" xfId="0" applyFont="1" applyFill="1" applyBorder="1"/>
    <xf numFmtId="0" fontId="1" fillId="4" borderId="7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571500</xdr:colOff>
      <xdr:row>15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67500" cy="2952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104775</xdr:rowOff>
    </xdr:from>
    <xdr:to>
      <xdr:col>6</xdr:col>
      <xdr:colOff>533400</xdr:colOff>
      <xdr:row>21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2B0105-6BA6-466E-9BDE-2263FBE1F476}"/>
            </a:ext>
            <a:ext uri="{147F2762-F138-4A5C-976F-8EAC2B608ADB}">
              <a16:predDERef xmlns:a16="http://schemas.microsoft.com/office/drawing/2014/main" pred="{D55F6E22-257A-4AAB-8175-252641D7E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62275"/>
          <a:ext cx="4191000" cy="1200150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15</xdr:row>
      <xdr:rowOff>85725</xdr:rowOff>
    </xdr:from>
    <xdr:to>
      <xdr:col>10</xdr:col>
      <xdr:colOff>581025</xdr:colOff>
      <xdr:row>18</xdr:row>
      <xdr:rowOff>114300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397AFEA-974C-4827-883F-4B93CD5B4CF5}"/>
            </a:ext>
            <a:ext uri="{147F2762-F138-4A5C-976F-8EAC2B608ADB}">
              <a16:predDERef xmlns:a16="http://schemas.microsoft.com/office/drawing/2014/main" pred="{932B0105-6BA6-466E-9BDE-2263FBE1F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00525" y="2943225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6</xdr:col>
      <xdr:colOff>542925</xdr:colOff>
      <xdr:row>18</xdr:row>
      <xdr:rowOff>114300</xdr:rowOff>
    </xdr:from>
    <xdr:to>
      <xdr:col>10</xdr:col>
      <xdr:colOff>581025</xdr:colOff>
      <xdr:row>21</xdr:row>
      <xdr:rowOff>142875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FC4CF2B-F61F-4212-A5E3-E3DF0C4FA1F7}"/>
            </a:ext>
            <a:ext uri="{147F2762-F138-4A5C-976F-8EAC2B608ADB}">
              <a16:predDERef xmlns:a16="http://schemas.microsoft.com/office/drawing/2014/main" pred="{1397AFEA-974C-4827-883F-4B93CD5B4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200525" y="3543300"/>
          <a:ext cx="2476500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21</xdr:row>
      <xdr:rowOff>180975</xdr:rowOff>
    </xdr:from>
    <xdr:to>
      <xdr:col>10</xdr:col>
      <xdr:colOff>581025</xdr:colOff>
      <xdr:row>37</xdr:row>
      <xdr:rowOff>161925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24CA12A-2B1A-445C-8FC3-BB9410BDE8C8}"/>
            </a:ext>
            <a:ext uri="{147F2762-F138-4A5C-976F-8EAC2B608ADB}">
              <a16:predDERef xmlns:a16="http://schemas.microsoft.com/office/drawing/2014/main" pred="{FFC4CF2B-F61F-4212-A5E3-E3DF0C4FA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25" y="4181475"/>
          <a:ext cx="6667500" cy="3028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f76232d-21a6-4463-9d19-0518ac5aab5d}">
  <we:reference id="WA200000556" version="1.0.0.0" store="en-us" storeType="OMEX"/>
  <we:alternateReferences>
    <we:reference id="df76232d-21a6-4463-9d19-0518ac5aab5d" version="1.0.0.0" store="en-us" storeType="OMEX"/>
  </we:alternateReferences>
  <we:properties>
    <we:property name="Office.AutoShowTaskpaneWithDocument" value="true"/>
    <we:property name="JiraExcel.FileToken" value="&quot;eyJhbGciOiJIUzI1NiIsImtpZCI6ImtpZCIsInR5cCI6IkpXVCJ9.eyJpc3MiOiJodHRwczovL2ppcmEtc3ByZWFkc2hlZXRzLnNlcnZpY2VzLmF0bGFzc2lhbi5jb20iLCJzdWIiOiI3NGFhM2UyZi05MWY1LTQ1YzQtOGEyOS03ZDg1MDQ0MTI1N2EiLCJhdWQiOiJkZXNrdG9wIiwiZXhwIjoxNzA0OTY0NDQ4LCJuYmYiOjE3MDQ5NjI2NDgsImlhdCI6MTcwNDk2MjY0OCwianRpIjoiOGVmYzc2ZGItNzFkOC00MzBlLTg4N2MtMDIxNzIxYTk2M2NlIiwiYWFpZCI6IjYyY2ZmYTcxYTk0YTZmOWMwZWZlZjlmNyIsImV4dHVpZCI6IjI3OWNmZTFkLTc0N2EtNDI1OS04Y2Q3LTA0YmM5YzViNGZjZSIsImV4dHVuYW1lIjoidW51c2VkIiwiamNpZCI6Ijc3ZTJkMWNjLTQyN2MtNDQ4Mi05ZGIwLTJjNWI2NGZmZTQwMyIsImpjbGllbnRrZXkiOiJkYzkzODFmMC0yZjk2LTMwYjUtYmNkMy03YzNmMDliMzgwYjUiLCJqbmFtZSI6Imh0dHBzOi8vc29sdmluZGlhLmF0bGFzc2lhbi5uZXQiLCJqcWwiOiJJa1Z3YVdNZ1RHbHVheUk5UVZSTVFWTXRNakV4TWlCUFVpQWlVR0Z5Wlc1MElFeHBibXNpUFVGVVRFRlRMVEl4TVRJZ1QxSkVSVklnUWxrZ2NtRnVhdz09IiwiZmlsdGVyIjoiIiwidGltZXpvbmUiOiJBc2lhL0tvbGthdGEifQ.Ttx-w3EOwNwoCg-_mfsHm-HrJMVKtLDAUOH3xp39FOI&quot;"/>
    <we:property name="JiraExcel.AutoStartImport" value="&quot;false&quot;"/>
    <we:property name="JiraExcel.GSideToken" value="&quot;eyJhbGciOiJIUzI1NiIsInR5cCI6IkpXVCJ9.eyJpc3MiOiJleGNlbC1qaXJhIiwic3ViIjoiMjc5Y2ZlMWQtNzQ3YS00MjU5LThjZDctMDRiYzljNWI0ZmNlIiwiYXVkIjoic2hlZXRzLWppcmEtdjIiLCJleHAiOjE3MDQ5NjI4MjgsIm5iZiI6MTcwNDk2MjY0OCwiaWF0IjoxNzA0OTYyNjQ4LCJqdGkiOiI1NTgyMzE1Yy04MGEwLTQ3OTgtODkyNS02YjJjNzAwMjhjZTYiLCJuYW1lIjoidW51c2VkIiwic2oiOnsiZCI6IjkzNDRiM2NhLTA1MTItNDJkNC1hOGY1LTYyNzE5YTkzMzFjMCIsInYiOiJ2IiwiYyI6ImMiLCJvIjoiZCJ9LCJldHYiOjJ9.BXZ34HjIDRwBe0ILO0pNXxIOUGBahNupty0TAABO5Ok&quot;"/>
    <we:property name="documentId" value="&quot;9344b3ca-0512-42d4-a8f5-62719a9331c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5364D-5106-4014-9B90-FC8F9439E5D5}">
  <dimension ref="L1:M3"/>
  <sheetViews>
    <sheetView topLeftCell="A10" workbookViewId="0"/>
  </sheetViews>
  <sheetFormatPr defaultRowHeight="14.5" x14ac:dyDescent="0.35"/>
  <sheetData>
    <row r="1" spans="12:13" x14ac:dyDescent="0.35">
      <c r="L1" t="s">
        <v>0</v>
      </c>
      <c r="M1" t="s">
        <v>1</v>
      </c>
    </row>
    <row r="2" spans="12:13" x14ac:dyDescent="0.35">
      <c r="L2" t="s">
        <v>2</v>
      </c>
      <c r="M2" t="s">
        <v>3</v>
      </c>
    </row>
    <row r="3" spans="12:13" x14ac:dyDescent="0.35">
      <c r="L3" t="s">
        <v>4</v>
      </c>
      <c r="M3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CE07C-EDFB-46B8-947A-221B86A0524E}">
  <dimension ref="A1:I57"/>
  <sheetViews>
    <sheetView topLeftCell="A9" zoomScale="95" workbookViewId="0">
      <selection activeCell="C19" sqref="C19"/>
    </sheetView>
  </sheetViews>
  <sheetFormatPr defaultRowHeight="14.5" x14ac:dyDescent="0.35"/>
  <cols>
    <col min="1" max="1" width="2.7265625" style="15" customWidth="1"/>
    <col min="2" max="2" width="42.1796875" bestFit="1" customWidth="1"/>
    <col min="3" max="3" width="32.36328125" bestFit="1" customWidth="1"/>
    <col min="4" max="4" width="30" bestFit="1" customWidth="1"/>
    <col min="8" max="8" width="12.90625" customWidth="1"/>
  </cols>
  <sheetData>
    <row r="1" spans="1:6" ht="17" customHeight="1" thickBot="1" x14ac:dyDescent="0.4">
      <c r="C1" s="7" t="s">
        <v>75</v>
      </c>
    </row>
    <row r="2" spans="1:6" s="15" customFormat="1" ht="15" thickBot="1" x14ac:dyDescent="0.4">
      <c r="A2" s="41" t="s">
        <v>6</v>
      </c>
      <c r="B2" s="42" t="s">
        <v>7</v>
      </c>
      <c r="C2" s="157" t="s">
        <v>22</v>
      </c>
      <c r="D2" s="158" t="s">
        <v>100</v>
      </c>
    </row>
    <row r="3" spans="1:6" x14ac:dyDescent="0.35">
      <c r="A3" s="129" t="s">
        <v>29</v>
      </c>
      <c r="B3" s="130"/>
      <c r="C3" s="130"/>
      <c r="D3" s="131"/>
    </row>
    <row r="4" spans="1:6" ht="15" thickBot="1" x14ac:dyDescent="0.4">
      <c r="A4" s="132" t="s">
        <v>8</v>
      </c>
      <c r="B4" s="133"/>
      <c r="C4" s="134"/>
      <c r="D4" s="135"/>
    </row>
    <row r="5" spans="1:6" x14ac:dyDescent="0.35">
      <c r="A5" s="50">
        <v>1</v>
      </c>
      <c r="B5" s="44" t="s">
        <v>9</v>
      </c>
      <c r="C5" s="48" t="s">
        <v>22</v>
      </c>
      <c r="D5" s="12"/>
    </row>
    <row r="6" spans="1:6" x14ac:dyDescent="0.35">
      <c r="A6" s="51">
        <v>2</v>
      </c>
      <c r="B6" s="45" t="s">
        <v>172</v>
      </c>
      <c r="C6" s="53" t="s">
        <v>11</v>
      </c>
      <c r="D6" s="54" t="s">
        <v>12</v>
      </c>
    </row>
    <row r="7" spans="1:6" ht="15" thickBot="1" x14ac:dyDescent="0.4">
      <c r="A7" s="52">
        <v>3</v>
      </c>
      <c r="B7" s="46" t="s">
        <v>143</v>
      </c>
      <c r="C7" s="55">
        <v>1</v>
      </c>
      <c r="D7" s="56"/>
    </row>
    <row r="8" spans="1:6" ht="8" customHeight="1" thickBot="1" x14ac:dyDescent="0.4">
      <c r="A8" s="27"/>
      <c r="B8" s="10"/>
      <c r="C8" s="26"/>
      <c r="D8" s="10"/>
    </row>
    <row r="9" spans="1:6" ht="15" thickBot="1" x14ac:dyDescent="0.4">
      <c r="A9" s="30"/>
      <c r="B9" s="136" t="s">
        <v>30</v>
      </c>
      <c r="C9" s="120"/>
      <c r="D9" s="121"/>
    </row>
    <row r="10" spans="1:6" x14ac:dyDescent="0.35">
      <c r="A10" s="60">
        <v>1</v>
      </c>
      <c r="B10" s="12" t="s">
        <v>9</v>
      </c>
      <c r="C10" s="57"/>
      <c r="D10" s="12"/>
    </row>
    <row r="11" spans="1:6" x14ac:dyDescent="0.35">
      <c r="A11" s="51">
        <v>2</v>
      </c>
      <c r="B11" s="61" t="s">
        <v>31</v>
      </c>
      <c r="C11" s="58" t="s">
        <v>41</v>
      </c>
      <c r="D11" s="14" t="s">
        <v>40</v>
      </c>
    </row>
    <row r="12" spans="1:6" ht="15" thickBot="1" x14ac:dyDescent="0.4">
      <c r="A12" s="52">
        <v>3</v>
      </c>
      <c r="B12" s="13" t="s">
        <v>32</v>
      </c>
      <c r="C12" s="59"/>
      <c r="D12" s="13"/>
    </row>
    <row r="13" spans="1:6" ht="15" thickBot="1" x14ac:dyDescent="0.4">
      <c r="A13" s="28"/>
      <c r="B13" s="11"/>
      <c r="C13" s="29"/>
      <c r="D13" s="11"/>
    </row>
    <row r="14" spans="1:6" ht="6.5" customHeight="1" thickBot="1" x14ac:dyDescent="0.4">
      <c r="A14" s="62"/>
      <c r="B14" s="63"/>
      <c r="C14" s="64"/>
      <c r="D14" s="63"/>
    </row>
    <row r="15" spans="1:6" ht="15" thickBot="1" x14ac:dyDescent="0.4">
      <c r="A15" s="22"/>
      <c r="B15" s="122" t="s">
        <v>15</v>
      </c>
      <c r="C15" s="123"/>
      <c r="D15" s="126"/>
      <c r="F15" t="s">
        <v>45</v>
      </c>
    </row>
    <row r="16" spans="1:6" ht="15" thickBot="1" x14ac:dyDescent="0.4">
      <c r="A16" s="22"/>
      <c r="B16" s="137" t="s">
        <v>16</v>
      </c>
      <c r="C16" s="138"/>
      <c r="D16" s="139"/>
    </row>
    <row r="17" spans="1:4" x14ac:dyDescent="0.35">
      <c r="A17" s="20">
        <v>1</v>
      </c>
      <c r="B17" s="44" t="s">
        <v>9</v>
      </c>
      <c r="C17" s="3"/>
      <c r="D17" s="12"/>
    </row>
    <row r="18" spans="1:4" s="115" customFormat="1" x14ac:dyDescent="0.35">
      <c r="A18" s="179">
        <v>2</v>
      </c>
      <c r="B18" s="180" t="s">
        <v>152</v>
      </c>
      <c r="C18" s="181" t="s">
        <v>17</v>
      </c>
      <c r="D18" s="182" t="s">
        <v>43</v>
      </c>
    </row>
    <row r="19" spans="1:4" ht="15" thickBot="1" x14ac:dyDescent="0.4">
      <c r="A19" s="21">
        <v>3</v>
      </c>
      <c r="B19" s="46" t="s">
        <v>44</v>
      </c>
      <c r="C19" s="47" t="s">
        <v>18</v>
      </c>
      <c r="D19" s="14"/>
    </row>
    <row r="20" spans="1:4" ht="15" thickBot="1" x14ac:dyDescent="0.4">
      <c r="A20" s="22"/>
      <c r="C20" s="65"/>
      <c r="D20" s="66" t="s">
        <v>19</v>
      </c>
    </row>
    <row r="21" spans="1:4" ht="4" customHeight="1" thickBot="1" x14ac:dyDescent="0.4">
      <c r="A21" s="32"/>
      <c r="D21" s="10"/>
    </row>
    <row r="22" spans="1:4" s="36" customFormat="1" ht="15" thickBot="1" x14ac:dyDescent="0.4">
      <c r="A22" s="33"/>
      <c r="B22" s="34"/>
      <c r="C22" s="35"/>
      <c r="D22" s="34"/>
    </row>
    <row r="23" spans="1:4" ht="15" thickBot="1" x14ac:dyDescent="0.4">
      <c r="A23" s="140" t="s">
        <v>29</v>
      </c>
      <c r="B23" s="124"/>
      <c r="C23" s="124"/>
      <c r="D23" s="125"/>
    </row>
    <row r="24" spans="1:4" ht="15" thickBot="1" x14ac:dyDescent="0.4">
      <c r="A24" s="122" t="s">
        <v>13</v>
      </c>
      <c r="B24" s="123"/>
      <c r="C24" s="124"/>
      <c r="D24" s="125"/>
    </row>
    <row r="25" spans="1:4" x14ac:dyDescent="0.35">
      <c r="A25" s="67">
        <v>1</v>
      </c>
      <c r="B25" s="68" t="s">
        <v>9</v>
      </c>
      <c r="C25" s="3"/>
      <c r="D25" s="12"/>
    </row>
    <row r="26" spans="1:4" x14ac:dyDescent="0.35">
      <c r="A26" s="18">
        <v>2</v>
      </c>
      <c r="B26" s="69" t="s">
        <v>14</v>
      </c>
      <c r="C26" s="47"/>
      <c r="D26" s="14"/>
    </row>
    <row r="27" spans="1:4" ht="15" thickBot="1" x14ac:dyDescent="0.4">
      <c r="A27" s="19">
        <v>3</v>
      </c>
      <c r="B27" s="70" t="s">
        <v>10</v>
      </c>
      <c r="C27" s="71" t="s">
        <v>28</v>
      </c>
      <c r="D27" s="13"/>
    </row>
    <row r="28" spans="1:4" ht="7" customHeight="1" thickBot="1" x14ac:dyDescent="0.4">
      <c r="A28" s="22"/>
      <c r="D28" s="10"/>
    </row>
    <row r="29" spans="1:4" ht="15" thickBot="1" x14ac:dyDescent="0.4">
      <c r="A29" s="122" t="s">
        <v>48</v>
      </c>
      <c r="B29" s="123"/>
      <c r="C29" s="123"/>
      <c r="D29" s="126"/>
    </row>
    <row r="30" spans="1:4" ht="15" thickBot="1" x14ac:dyDescent="0.4">
      <c r="A30" s="122" t="s">
        <v>46</v>
      </c>
      <c r="B30" s="123"/>
      <c r="C30" s="123"/>
      <c r="D30" s="125"/>
    </row>
    <row r="31" spans="1:4" x14ac:dyDescent="0.35">
      <c r="A31" s="67">
        <v>1</v>
      </c>
      <c r="B31" s="72" t="s">
        <v>9</v>
      </c>
      <c r="C31" s="44"/>
      <c r="D31" s="74"/>
    </row>
    <row r="32" spans="1:4" x14ac:dyDescent="0.35">
      <c r="A32" s="18">
        <v>2</v>
      </c>
      <c r="B32" s="40" t="s">
        <v>14</v>
      </c>
      <c r="C32" s="45" t="s">
        <v>47</v>
      </c>
      <c r="D32" s="75"/>
    </row>
    <row r="33" spans="1:9" ht="15" thickBot="1" x14ac:dyDescent="0.4">
      <c r="A33" s="19">
        <v>3</v>
      </c>
      <c r="B33" s="39" t="s">
        <v>27</v>
      </c>
      <c r="C33" s="73" t="s">
        <v>28</v>
      </c>
      <c r="D33" s="76"/>
    </row>
    <row r="34" spans="1:9" ht="15" thickBot="1" x14ac:dyDescent="0.4">
      <c r="A34" s="22"/>
      <c r="D34" s="10"/>
    </row>
    <row r="35" spans="1:9" ht="15" thickBot="1" x14ac:dyDescent="0.4">
      <c r="A35" s="37"/>
      <c r="B35" s="124" t="s">
        <v>35</v>
      </c>
      <c r="C35" s="124"/>
      <c r="D35" s="125"/>
    </row>
    <row r="36" spans="1:9" ht="15" thickBot="1" x14ac:dyDescent="0.4">
      <c r="A36" s="16"/>
      <c r="B36" s="124" t="s">
        <v>46</v>
      </c>
      <c r="C36" s="124"/>
      <c r="D36" s="125"/>
    </row>
    <row r="37" spans="1:9" x14ac:dyDescent="0.35">
      <c r="A37" s="77">
        <v>1</v>
      </c>
      <c r="B37" s="3" t="s">
        <v>9</v>
      </c>
      <c r="C37" s="4"/>
      <c r="D37" s="12"/>
    </row>
    <row r="38" spans="1:9" ht="15" thickBot="1" x14ac:dyDescent="0.4">
      <c r="A38" s="78">
        <v>2</v>
      </c>
      <c r="B38" s="65" t="s">
        <v>14</v>
      </c>
      <c r="C38" s="5" t="s">
        <v>47</v>
      </c>
      <c r="D38" s="13"/>
    </row>
    <row r="39" spans="1:9" ht="15" thickBot="1" x14ac:dyDescent="0.4">
      <c r="A39" s="19">
        <v>3</v>
      </c>
      <c r="B39" s="79" t="s">
        <v>49</v>
      </c>
      <c r="C39" s="80" t="s">
        <v>28</v>
      </c>
      <c r="D39" s="11"/>
    </row>
    <row r="40" spans="1:9" ht="15" thickBot="1" x14ac:dyDescent="0.4">
      <c r="A40" s="32"/>
      <c r="D40" s="10"/>
    </row>
    <row r="41" spans="1:9" s="17" customFormat="1" ht="15" thickBot="1" x14ac:dyDescent="0.4">
      <c r="A41" s="16"/>
      <c r="D41" s="23"/>
    </row>
    <row r="42" spans="1:9" ht="17" thickBot="1" x14ac:dyDescent="0.5">
      <c r="A42" s="22"/>
      <c r="B42" s="24" t="s">
        <v>20</v>
      </c>
      <c r="C42" s="8"/>
      <c r="D42" s="10"/>
    </row>
    <row r="43" spans="1:9" x14ac:dyDescent="0.35">
      <c r="A43" s="6"/>
      <c r="B43" s="127" t="s">
        <v>23</v>
      </c>
      <c r="C43" s="127"/>
      <c r="D43" s="128"/>
      <c r="G43" s="7" t="s">
        <v>59</v>
      </c>
      <c r="H43" s="7" t="s">
        <v>34</v>
      </c>
      <c r="I43" s="7" t="s">
        <v>35</v>
      </c>
    </row>
    <row r="44" spans="1:9" x14ac:dyDescent="0.35">
      <c r="A44" s="84"/>
      <c r="B44" s="116" t="s">
        <v>21</v>
      </c>
      <c r="C44" s="116"/>
      <c r="D44" s="117"/>
      <c r="F44" s="1" t="s">
        <v>63</v>
      </c>
      <c r="G44" s="178"/>
      <c r="H44" s="178"/>
      <c r="I44" s="178"/>
    </row>
    <row r="45" spans="1:9" ht="15" thickBot="1" x14ac:dyDescent="0.4">
      <c r="A45" s="84"/>
      <c r="B45" s="116" t="s">
        <v>52</v>
      </c>
      <c r="C45" s="118"/>
      <c r="D45" s="119"/>
    </row>
    <row r="46" spans="1:9" ht="15" thickBot="1" x14ac:dyDescent="0.4">
      <c r="A46" s="85"/>
      <c r="B46" s="46"/>
      <c r="C46" s="86" t="s">
        <v>22</v>
      </c>
      <c r="D46" s="9" t="s">
        <v>53</v>
      </c>
    </row>
    <row r="47" spans="1:9" x14ac:dyDescent="0.35">
      <c r="A47" s="22">
        <v>1</v>
      </c>
      <c r="B47" s="81" t="s">
        <v>9</v>
      </c>
      <c r="C47" s="82"/>
      <c r="D47" s="83"/>
    </row>
    <row r="48" spans="1:9" x14ac:dyDescent="0.35">
      <c r="A48" s="22">
        <v>2</v>
      </c>
      <c r="B48" s="47" t="s">
        <v>51</v>
      </c>
      <c r="C48" s="2" t="s">
        <v>47</v>
      </c>
      <c r="D48" s="14"/>
    </row>
    <row r="49" spans="1:4" ht="15" thickBot="1" x14ac:dyDescent="0.4">
      <c r="A49" s="25">
        <v>3</v>
      </c>
      <c r="B49" s="65" t="s">
        <v>10</v>
      </c>
      <c r="C49" s="38" t="s">
        <v>28</v>
      </c>
      <c r="D49" s="87"/>
    </row>
    <row r="50" spans="1:4" x14ac:dyDescent="0.35">
      <c r="A50" s="22"/>
      <c r="D50" s="88" t="s">
        <v>24</v>
      </c>
    </row>
    <row r="51" spans="1:4" ht="15" thickBot="1" x14ac:dyDescent="0.4">
      <c r="A51" s="22"/>
      <c r="D51" s="89" t="s">
        <v>25</v>
      </c>
    </row>
    <row r="52" spans="1:4" ht="15" thickBot="1" x14ac:dyDescent="0.4">
      <c r="A52" s="22"/>
      <c r="D52" s="10"/>
    </row>
    <row r="53" spans="1:4" s="17" customFormat="1" ht="15" thickBot="1" x14ac:dyDescent="0.4">
      <c r="A53" s="16"/>
      <c r="D53" s="23"/>
    </row>
    <row r="54" spans="1:4" ht="15" thickBot="1" x14ac:dyDescent="0.4">
      <c r="A54" s="22"/>
      <c r="B54" s="120" t="s">
        <v>26</v>
      </c>
      <c r="C54" s="120"/>
      <c r="D54" s="121"/>
    </row>
    <row r="55" spans="1:4" x14ac:dyDescent="0.35">
      <c r="A55" s="37">
        <v>1</v>
      </c>
      <c r="B55" s="3" t="s">
        <v>9</v>
      </c>
      <c r="C55" s="4"/>
      <c r="D55" s="12"/>
    </row>
    <row r="56" spans="1:4" x14ac:dyDescent="0.35">
      <c r="A56" s="22">
        <v>2</v>
      </c>
      <c r="B56" s="47" t="s">
        <v>14</v>
      </c>
      <c r="C56" s="2" t="s">
        <v>47</v>
      </c>
      <c r="D56" s="14"/>
    </row>
    <row r="57" spans="1:4" ht="15" thickBot="1" x14ac:dyDescent="0.4">
      <c r="A57" s="25">
        <v>3</v>
      </c>
      <c r="B57" s="65" t="s">
        <v>27</v>
      </c>
      <c r="C57" s="38" t="s">
        <v>28</v>
      </c>
      <c r="D57" s="13"/>
    </row>
  </sheetData>
  <mergeCells count="15">
    <mergeCell ref="A23:D23"/>
    <mergeCell ref="A3:D3"/>
    <mergeCell ref="A4:D4"/>
    <mergeCell ref="B9:D9"/>
    <mergeCell ref="B15:D15"/>
    <mergeCell ref="B16:D16"/>
    <mergeCell ref="B44:D44"/>
    <mergeCell ref="B45:D45"/>
    <mergeCell ref="B54:D54"/>
    <mergeCell ref="A24:D24"/>
    <mergeCell ref="A29:D29"/>
    <mergeCell ref="A30:D30"/>
    <mergeCell ref="B35:D35"/>
    <mergeCell ref="B36:D36"/>
    <mergeCell ref="B43:D4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B3CA-E399-4B6F-A01A-7E7FBE4842E1}">
  <dimension ref="H2:I4"/>
  <sheetViews>
    <sheetView tabSelected="1" workbookViewId="0">
      <selection activeCell="H3" sqref="H3"/>
    </sheetView>
  </sheetViews>
  <sheetFormatPr defaultRowHeight="14.5" x14ac:dyDescent="0.35"/>
  <sheetData>
    <row r="2" spans="8:9" x14ac:dyDescent="0.35">
      <c r="H2" t="s">
        <v>176</v>
      </c>
    </row>
    <row r="3" spans="8:9" x14ac:dyDescent="0.35">
      <c r="H3" t="s">
        <v>174</v>
      </c>
      <c r="I3">
        <v>123</v>
      </c>
    </row>
    <row r="4" spans="8:9" x14ac:dyDescent="0.35">
      <c r="H4" t="s">
        <v>175</v>
      </c>
      <c r="I4">
        <v>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F0B1-B1A3-44E4-8129-08A1EBD9D1CB}">
  <dimension ref="A1:Q14"/>
  <sheetViews>
    <sheetView topLeftCell="C1" workbookViewId="0">
      <selection activeCell="P11" sqref="P11"/>
    </sheetView>
  </sheetViews>
  <sheetFormatPr defaultRowHeight="14.5" x14ac:dyDescent="0.35"/>
  <cols>
    <col min="4" max="4" width="20.36328125" bestFit="1" customWidth="1"/>
    <col min="6" max="6" width="13.08984375" bestFit="1" customWidth="1"/>
    <col min="15" max="15" width="23" customWidth="1"/>
    <col min="16" max="16" width="12.90625" customWidth="1"/>
    <col min="17" max="17" width="9.7265625" customWidth="1"/>
  </cols>
  <sheetData>
    <row r="1" spans="1:17" x14ac:dyDescent="0.35">
      <c r="Q1" t="s">
        <v>14</v>
      </c>
    </row>
    <row r="2" spans="1:17" x14ac:dyDescent="0.35">
      <c r="D2" t="s">
        <v>159</v>
      </c>
      <c r="N2" s="15" t="s">
        <v>22</v>
      </c>
      <c r="P2" s="1" t="s">
        <v>169</v>
      </c>
      <c r="Q2" t="s">
        <v>49</v>
      </c>
    </row>
    <row r="3" spans="1:17" x14ac:dyDescent="0.35">
      <c r="E3" t="s">
        <v>9</v>
      </c>
      <c r="F3" t="s">
        <v>161</v>
      </c>
      <c r="O3" t="s">
        <v>164</v>
      </c>
    </row>
    <row r="4" spans="1:17" x14ac:dyDescent="0.35">
      <c r="E4" t="s">
        <v>14</v>
      </c>
      <c r="O4" t="s">
        <v>165</v>
      </c>
    </row>
    <row r="5" spans="1:17" x14ac:dyDescent="0.35">
      <c r="E5" t="s">
        <v>138</v>
      </c>
      <c r="F5" t="s">
        <v>162</v>
      </c>
      <c r="H5" t="s">
        <v>163</v>
      </c>
      <c r="N5" t="s">
        <v>166</v>
      </c>
    </row>
    <row r="6" spans="1:17" x14ac:dyDescent="0.35">
      <c r="N6" t="s">
        <v>167</v>
      </c>
    </row>
    <row r="7" spans="1:17" x14ac:dyDescent="0.35">
      <c r="D7" s="15" t="s">
        <v>160</v>
      </c>
      <c r="O7" t="s">
        <v>166</v>
      </c>
    </row>
    <row r="8" spans="1:17" x14ac:dyDescent="0.35">
      <c r="E8" s="97">
        <v>0.05</v>
      </c>
      <c r="O8" s="92" t="s">
        <v>171</v>
      </c>
    </row>
    <row r="9" spans="1:17" x14ac:dyDescent="0.35">
      <c r="E9" s="97">
        <v>0.06</v>
      </c>
      <c r="O9" t="s">
        <v>168</v>
      </c>
    </row>
    <row r="10" spans="1:17" x14ac:dyDescent="0.35">
      <c r="O10" s="91" t="s">
        <v>170</v>
      </c>
    </row>
    <row r="11" spans="1:17" ht="15" thickBot="1" x14ac:dyDescent="0.4">
      <c r="P11" t="s">
        <v>173</v>
      </c>
    </row>
    <row r="12" spans="1:17" s="17" customFormat="1" ht="15" thickBot="1" x14ac:dyDescent="0.4">
      <c r="A12" s="16"/>
    </row>
    <row r="13" spans="1:17" ht="15" thickBot="1" x14ac:dyDescent="0.4">
      <c r="D13" t="s">
        <v>22</v>
      </c>
    </row>
    <row r="14" spans="1:17" s="177" customFormat="1" ht="15" thickBot="1" x14ac:dyDescent="0.4">
      <c r="A14" s="176"/>
      <c r="D14" s="177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7F82-4397-433B-A604-C58A6D58D6D9}">
  <dimension ref="A1:I16"/>
  <sheetViews>
    <sheetView topLeftCell="A2" workbookViewId="0">
      <selection activeCell="I4" sqref="I4"/>
    </sheetView>
  </sheetViews>
  <sheetFormatPr defaultRowHeight="14.5" x14ac:dyDescent="0.35"/>
  <cols>
    <col min="3" max="3" width="16.08984375" customWidth="1"/>
    <col min="4" max="4" width="13" customWidth="1"/>
    <col min="5" max="5" width="21.08984375" bestFit="1" customWidth="1"/>
    <col min="6" max="6" width="14.7265625" customWidth="1"/>
    <col min="7" max="7" width="11.453125" customWidth="1"/>
    <col min="8" max="8" width="13.36328125" customWidth="1"/>
    <col min="9" max="9" width="21.1796875" bestFit="1" customWidth="1"/>
  </cols>
  <sheetData>
    <row r="1" spans="1:9" x14ac:dyDescent="0.35">
      <c r="G1" s="159" t="s">
        <v>49</v>
      </c>
    </row>
    <row r="2" spans="1:9" x14ac:dyDescent="0.35">
      <c r="F2" s="160" t="s">
        <v>71</v>
      </c>
      <c r="G2" s="160"/>
      <c r="H2" s="160" t="s">
        <v>144</v>
      </c>
    </row>
    <row r="3" spans="1:9" ht="15" thickBot="1" x14ac:dyDescent="0.4">
      <c r="D3" s="8" t="s">
        <v>145</v>
      </c>
      <c r="E3" s="8">
        <v>100</v>
      </c>
    </row>
    <row r="4" spans="1:9" ht="15" thickBot="1" x14ac:dyDescent="0.4">
      <c r="E4" s="161" t="s">
        <v>22</v>
      </c>
      <c r="F4" s="164">
        <v>5</v>
      </c>
      <c r="G4" s="163"/>
      <c r="H4" s="110">
        <v>100</v>
      </c>
      <c r="I4" t="s">
        <v>147</v>
      </c>
    </row>
    <row r="5" spans="1:9" ht="15" thickBot="1" x14ac:dyDescent="0.4">
      <c r="E5" s="162" t="s">
        <v>146</v>
      </c>
      <c r="F5" s="165">
        <v>95</v>
      </c>
      <c r="G5" s="70"/>
      <c r="H5" s="76"/>
    </row>
    <row r="7" spans="1:9" ht="15" thickBot="1" x14ac:dyDescent="0.4"/>
    <row r="8" spans="1:9" ht="15" thickBot="1" x14ac:dyDescent="0.4">
      <c r="E8" s="114" t="s">
        <v>151</v>
      </c>
    </row>
    <row r="9" spans="1:9" ht="15" thickBot="1" x14ac:dyDescent="0.4">
      <c r="E9" s="167" t="s">
        <v>148</v>
      </c>
      <c r="F9" s="168" t="s">
        <v>22</v>
      </c>
      <c r="G9" s="168"/>
      <c r="H9" s="169" t="s">
        <v>50</v>
      </c>
    </row>
    <row r="10" spans="1:9" ht="15" thickBot="1" x14ac:dyDescent="0.4">
      <c r="E10" s="166">
        <v>120001</v>
      </c>
      <c r="F10" s="170" t="s">
        <v>149</v>
      </c>
      <c r="G10" s="171"/>
      <c r="H10" s="172" t="s">
        <v>150</v>
      </c>
    </row>
    <row r="11" spans="1:9" ht="15" thickBot="1" x14ac:dyDescent="0.4"/>
    <row r="12" spans="1:9" s="17" customFormat="1" ht="15" thickBot="1" x14ac:dyDescent="0.4">
      <c r="A12" s="16"/>
    </row>
    <row r="13" spans="1:9" ht="15" thickBot="1" x14ac:dyDescent="0.4">
      <c r="B13" s="8" t="s">
        <v>156</v>
      </c>
      <c r="C13" s="8" t="s">
        <v>35</v>
      </c>
    </row>
    <row r="14" spans="1:9" ht="15" thickBot="1" x14ac:dyDescent="0.4">
      <c r="C14" s="173" t="s">
        <v>15</v>
      </c>
      <c r="D14" s="158" t="s">
        <v>153</v>
      </c>
    </row>
    <row r="15" spans="1:9" x14ac:dyDescent="0.35">
      <c r="C15" s="75" t="s">
        <v>154</v>
      </c>
      <c r="D15" s="174" t="s">
        <v>157</v>
      </c>
    </row>
    <row r="16" spans="1:9" ht="15" thickBot="1" x14ac:dyDescent="0.4">
      <c r="C16" s="76" t="s">
        <v>155</v>
      </c>
      <c r="D16" s="175" t="s">
        <v>158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F52E5-3743-4119-A260-D6E2686681CD}">
  <dimension ref="D2:L11"/>
  <sheetViews>
    <sheetView topLeftCell="B1" zoomScale="84" workbookViewId="0">
      <selection activeCell="G13" sqref="G13"/>
    </sheetView>
  </sheetViews>
  <sheetFormatPr defaultRowHeight="14.5" x14ac:dyDescent="0.35"/>
  <cols>
    <col min="4" max="4" width="13.08984375" customWidth="1"/>
    <col min="5" max="5" width="20.90625" customWidth="1"/>
    <col min="8" max="8" width="20.54296875" style="143" bestFit="1" customWidth="1"/>
    <col min="9" max="9" width="25" style="1" customWidth="1"/>
    <col min="10" max="10" width="19" bestFit="1" customWidth="1"/>
    <col min="12" max="12" width="21.08984375" bestFit="1" customWidth="1"/>
  </cols>
  <sheetData>
    <row r="2" spans="4:12" ht="15" thickBot="1" x14ac:dyDescent="0.4">
      <c r="F2" t="s">
        <v>103</v>
      </c>
    </row>
    <row r="3" spans="4:12" x14ac:dyDescent="0.35">
      <c r="E3" s="150" t="s">
        <v>101</v>
      </c>
      <c r="F3" s="151" t="s">
        <v>102</v>
      </c>
      <c r="G3" s="151"/>
      <c r="H3" s="152" t="s">
        <v>111</v>
      </c>
      <c r="I3" s="49" t="s">
        <v>112</v>
      </c>
      <c r="J3" s="151"/>
      <c r="K3" s="151" t="s">
        <v>118</v>
      </c>
      <c r="L3" s="12"/>
    </row>
    <row r="4" spans="4:12" x14ac:dyDescent="0.35">
      <c r="E4" s="47" t="s">
        <v>106</v>
      </c>
      <c r="F4" s="144">
        <v>45352</v>
      </c>
      <c r="G4" s="2"/>
      <c r="H4" s="145" t="s">
        <v>109</v>
      </c>
      <c r="I4" s="116" t="s">
        <v>114</v>
      </c>
      <c r="J4" s="2"/>
      <c r="K4" s="146"/>
      <c r="L4" s="14" t="s">
        <v>119</v>
      </c>
    </row>
    <row r="5" spans="4:12" x14ac:dyDescent="0.35">
      <c r="E5" s="47" t="s">
        <v>108</v>
      </c>
      <c r="F5" s="144">
        <v>45356</v>
      </c>
      <c r="G5" s="2"/>
      <c r="H5" s="145" t="s">
        <v>110</v>
      </c>
      <c r="I5" s="116"/>
      <c r="J5" s="2"/>
      <c r="K5" s="146"/>
      <c r="L5" s="14"/>
    </row>
    <row r="6" spans="4:12" x14ac:dyDescent="0.35">
      <c r="E6" s="153" t="s">
        <v>104</v>
      </c>
      <c r="F6" s="147">
        <v>45366</v>
      </c>
      <c r="G6" s="2"/>
      <c r="H6" s="145" t="s">
        <v>113</v>
      </c>
      <c r="I6" s="116"/>
      <c r="J6" s="148" t="s">
        <v>113</v>
      </c>
      <c r="K6" s="146"/>
      <c r="L6" s="14"/>
    </row>
    <row r="7" spans="4:12" x14ac:dyDescent="0.35">
      <c r="E7" s="47"/>
      <c r="F7" s="144">
        <v>45367</v>
      </c>
      <c r="G7" s="2"/>
      <c r="H7" s="149">
        <v>45397</v>
      </c>
      <c r="I7" s="43" t="s">
        <v>116</v>
      </c>
      <c r="J7" s="2"/>
      <c r="K7" s="146"/>
      <c r="L7" s="14" t="s">
        <v>120</v>
      </c>
    </row>
    <row r="8" spans="4:12" x14ac:dyDescent="0.35">
      <c r="D8" t="s">
        <v>107</v>
      </c>
      <c r="E8" s="47" t="s">
        <v>105</v>
      </c>
      <c r="F8" s="144">
        <v>45382</v>
      </c>
      <c r="G8" s="2"/>
      <c r="H8" s="145"/>
      <c r="I8" s="43" t="s">
        <v>117</v>
      </c>
      <c r="J8" s="2"/>
      <c r="K8" s="146"/>
      <c r="L8" s="14" t="s">
        <v>121</v>
      </c>
    </row>
    <row r="9" spans="4:12" x14ac:dyDescent="0.35">
      <c r="E9" s="47" t="s">
        <v>115</v>
      </c>
      <c r="F9" s="144">
        <v>45397</v>
      </c>
      <c r="G9" s="2"/>
      <c r="H9" s="145"/>
      <c r="I9" s="43"/>
      <c r="J9" s="2"/>
      <c r="K9" s="146"/>
      <c r="L9" s="14"/>
    </row>
    <row r="10" spans="4:12" x14ac:dyDescent="0.35">
      <c r="E10" s="47" t="s">
        <v>122</v>
      </c>
      <c r="F10" s="144">
        <v>45383</v>
      </c>
      <c r="G10" s="2"/>
      <c r="H10" s="145" t="s">
        <v>124</v>
      </c>
      <c r="I10" s="43" t="s">
        <v>125</v>
      </c>
      <c r="J10" s="2"/>
      <c r="K10" s="2"/>
      <c r="L10" s="14" t="s">
        <v>126</v>
      </c>
    </row>
    <row r="11" spans="4:12" ht="15" thickBot="1" x14ac:dyDescent="0.4">
      <c r="E11" s="65" t="s">
        <v>123</v>
      </c>
      <c r="F11" s="154">
        <v>45412</v>
      </c>
      <c r="G11" s="5"/>
      <c r="H11" s="155"/>
      <c r="I11" s="156"/>
      <c r="J11" s="5"/>
      <c r="K11" s="5"/>
      <c r="L11" s="13"/>
    </row>
  </sheetData>
  <mergeCells count="1">
    <mergeCell ref="I4:I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23357-44D6-46F9-B201-ABE22C57CAC2}">
  <dimension ref="B2:H12"/>
  <sheetViews>
    <sheetView workbookViewId="0">
      <selection activeCell="F13" sqref="F13"/>
    </sheetView>
  </sheetViews>
  <sheetFormatPr defaultRowHeight="14.5" x14ac:dyDescent="0.35"/>
  <cols>
    <col min="3" max="3" width="13.1796875" customWidth="1"/>
    <col min="5" max="5" width="10.90625" bestFit="1" customWidth="1"/>
    <col min="6" max="6" width="12.1796875" customWidth="1"/>
    <col min="7" max="7" width="10.36328125" bestFit="1" customWidth="1"/>
  </cols>
  <sheetData>
    <row r="2" spans="2:8" x14ac:dyDescent="0.35">
      <c r="C2" t="s">
        <v>127</v>
      </c>
      <c r="D2" s="141">
        <v>45292</v>
      </c>
      <c r="E2" t="s">
        <v>109</v>
      </c>
    </row>
    <row r="3" spans="2:8" x14ac:dyDescent="0.35">
      <c r="D3" s="141"/>
    </row>
    <row r="4" spans="2:8" x14ac:dyDescent="0.35">
      <c r="C4" t="s">
        <v>129</v>
      </c>
      <c r="D4" s="141">
        <v>45308</v>
      </c>
    </row>
    <row r="5" spans="2:8" x14ac:dyDescent="0.35">
      <c r="B5" t="s">
        <v>105</v>
      </c>
      <c r="D5" s="142">
        <v>45309</v>
      </c>
      <c r="F5" t="s">
        <v>131</v>
      </c>
      <c r="G5" t="s">
        <v>122</v>
      </c>
    </row>
    <row r="6" spans="2:8" x14ac:dyDescent="0.35">
      <c r="B6" t="s">
        <v>128</v>
      </c>
      <c r="D6" s="141">
        <v>45310</v>
      </c>
      <c r="G6" t="s">
        <v>130</v>
      </c>
      <c r="H6" s="141">
        <v>45310</v>
      </c>
    </row>
    <row r="7" spans="2:8" x14ac:dyDescent="0.35">
      <c r="H7" s="141">
        <v>45311</v>
      </c>
    </row>
    <row r="10" spans="2:8" x14ac:dyDescent="0.35">
      <c r="D10" t="s">
        <v>132</v>
      </c>
      <c r="E10" t="s">
        <v>133</v>
      </c>
      <c r="F10" t="s">
        <v>133</v>
      </c>
    </row>
    <row r="11" spans="2:8" x14ac:dyDescent="0.35">
      <c r="D11" t="s">
        <v>134</v>
      </c>
      <c r="E11" t="s">
        <v>133</v>
      </c>
      <c r="F11" t="s">
        <v>136</v>
      </c>
    </row>
    <row r="12" spans="2:8" x14ac:dyDescent="0.35">
      <c r="D12" t="s">
        <v>135</v>
      </c>
      <c r="E12" s="15"/>
      <c r="F1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0B85B-7EE4-4D4B-865D-FE7F43BE178E}">
  <dimension ref="A1:C8"/>
  <sheetViews>
    <sheetView zoomScale="128" workbookViewId="0"/>
  </sheetViews>
  <sheetFormatPr defaultRowHeight="14.5" x14ac:dyDescent="0.35"/>
  <cols>
    <col min="2" max="2" width="5" style="113" customWidth="1"/>
    <col min="3" max="3" width="68.90625" bestFit="1" customWidth="1"/>
  </cols>
  <sheetData>
    <row r="1" spans="1:3" ht="15" thickBot="1" x14ac:dyDescent="0.4">
      <c r="A1" s="114" t="s">
        <v>82</v>
      </c>
      <c r="B1" s="109" t="s">
        <v>6</v>
      </c>
      <c r="C1" s="106" t="s">
        <v>83</v>
      </c>
    </row>
    <row r="2" spans="1:3" x14ac:dyDescent="0.35">
      <c r="B2" s="110">
        <v>1</v>
      </c>
      <c r="C2" s="107" t="s">
        <v>79</v>
      </c>
    </row>
    <row r="3" spans="1:3" x14ac:dyDescent="0.35">
      <c r="B3" s="111">
        <v>2</v>
      </c>
      <c r="C3" s="108" t="s">
        <v>80</v>
      </c>
    </row>
    <row r="4" spans="1:3" x14ac:dyDescent="0.35">
      <c r="B4" s="111">
        <v>3</v>
      </c>
      <c r="C4" s="108" t="s">
        <v>81</v>
      </c>
    </row>
    <row r="5" spans="1:3" x14ac:dyDescent="0.35">
      <c r="B5" s="111">
        <v>4</v>
      </c>
      <c r="C5" s="108" t="s">
        <v>84</v>
      </c>
    </row>
    <row r="6" spans="1:3" x14ac:dyDescent="0.35">
      <c r="B6" s="111">
        <v>5</v>
      </c>
      <c r="C6" s="108" t="s">
        <v>85</v>
      </c>
    </row>
    <row r="7" spans="1:3" x14ac:dyDescent="0.35">
      <c r="B7" s="111">
        <v>6</v>
      </c>
    </row>
    <row r="8" spans="1:3" ht="15" thickBot="1" x14ac:dyDescent="0.4">
      <c r="B8" s="112">
        <v>7</v>
      </c>
      <c r="C8" s="10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B577-7818-4486-A88F-3E9D56F12028}">
  <dimension ref="C2:H8"/>
  <sheetViews>
    <sheetView workbookViewId="0">
      <selection activeCell="E6" sqref="E6"/>
    </sheetView>
  </sheetViews>
  <sheetFormatPr defaultRowHeight="14.5" x14ac:dyDescent="0.35"/>
  <cols>
    <col min="1" max="1" width="2.6328125" customWidth="1"/>
    <col min="4" max="4" width="3.1796875" customWidth="1"/>
    <col min="5" max="5" width="18.1796875" customWidth="1"/>
    <col min="7" max="7" width="20" customWidth="1"/>
    <col min="8" max="8" width="19.26953125" customWidth="1"/>
  </cols>
  <sheetData>
    <row r="2" spans="3:8" x14ac:dyDescent="0.35">
      <c r="C2" s="8" t="s">
        <v>137</v>
      </c>
    </row>
    <row r="3" spans="3:8" x14ac:dyDescent="0.35">
      <c r="E3" s="91" t="s">
        <v>141</v>
      </c>
      <c r="G3" t="s">
        <v>139</v>
      </c>
    </row>
    <row r="4" spans="3:8" x14ac:dyDescent="0.35">
      <c r="E4" t="s">
        <v>9</v>
      </c>
    </row>
    <row r="5" spans="3:8" x14ac:dyDescent="0.35">
      <c r="E5" t="s">
        <v>14</v>
      </c>
      <c r="G5" s="8" t="s">
        <v>140</v>
      </c>
    </row>
    <row r="6" spans="3:8" x14ac:dyDescent="0.35">
      <c r="E6" s="115" t="s">
        <v>138</v>
      </c>
      <c r="G6" s="8" t="s">
        <v>140</v>
      </c>
      <c r="H6" s="8" t="s">
        <v>142</v>
      </c>
    </row>
    <row r="8" spans="3:8" ht="7" customHeight="1" x14ac:dyDescent="0.35"/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16BB-5D6C-4099-A8EA-85D67AF0A8E7}">
  <dimension ref="B3:H18"/>
  <sheetViews>
    <sheetView workbookViewId="0">
      <selection activeCell="H19" sqref="H19"/>
    </sheetView>
  </sheetViews>
  <sheetFormatPr defaultRowHeight="14.5" x14ac:dyDescent="0.35"/>
  <cols>
    <col min="2" max="2" width="10.54296875" style="1" bestFit="1" customWidth="1"/>
    <col min="5" max="5" width="10.1796875" bestFit="1" customWidth="1"/>
    <col min="6" max="6" width="14.90625" customWidth="1"/>
    <col min="7" max="7" width="12.90625" customWidth="1"/>
    <col min="8" max="8" width="10.26953125" style="1" bestFit="1" customWidth="1"/>
  </cols>
  <sheetData>
    <row r="3" spans="2:8" x14ac:dyDescent="0.35">
      <c r="E3" t="s">
        <v>86</v>
      </c>
    </row>
    <row r="4" spans="2:8" x14ac:dyDescent="0.35">
      <c r="D4" s="97">
        <v>0.05</v>
      </c>
      <c r="E4" t="s">
        <v>92</v>
      </c>
      <c r="F4" s="15" t="s">
        <v>87</v>
      </c>
      <c r="G4" s="97">
        <v>0.1</v>
      </c>
      <c r="H4" s="1">
        <v>10000</v>
      </c>
    </row>
    <row r="5" spans="2:8" x14ac:dyDescent="0.35">
      <c r="H5" s="1">
        <f>G4*H4</f>
        <v>1000</v>
      </c>
    </row>
    <row r="6" spans="2:8" x14ac:dyDescent="0.35">
      <c r="H6" s="1">
        <f>H4-H5</f>
        <v>9000</v>
      </c>
    </row>
    <row r="7" spans="2:8" x14ac:dyDescent="0.35">
      <c r="B7" s="1" t="s">
        <v>93</v>
      </c>
      <c r="C7" s="1" t="s">
        <v>98</v>
      </c>
    </row>
    <row r="8" spans="2:8" x14ac:dyDescent="0.35">
      <c r="B8" s="1" t="s">
        <v>99</v>
      </c>
      <c r="C8" s="98">
        <v>0.1</v>
      </c>
    </row>
    <row r="9" spans="2:8" x14ac:dyDescent="0.35">
      <c r="H9" s="1" t="s">
        <v>96</v>
      </c>
    </row>
    <row r="10" spans="2:8" x14ac:dyDescent="0.35">
      <c r="E10" t="s">
        <v>91</v>
      </c>
      <c r="H10" s="1" t="s">
        <v>95</v>
      </c>
    </row>
    <row r="11" spans="2:8" x14ac:dyDescent="0.35">
      <c r="D11" s="97">
        <v>0.05</v>
      </c>
      <c r="E11" t="s">
        <v>97</v>
      </c>
      <c r="F11" s="15" t="s">
        <v>88</v>
      </c>
      <c r="G11" t="s">
        <v>93</v>
      </c>
      <c r="H11" s="1" t="s">
        <v>94</v>
      </c>
    </row>
    <row r="12" spans="2:8" x14ac:dyDescent="0.35">
      <c r="F12" t="s">
        <v>89</v>
      </c>
    </row>
    <row r="13" spans="2:8" x14ac:dyDescent="0.35">
      <c r="F13" t="s">
        <v>90</v>
      </c>
    </row>
    <row r="14" spans="2:8" x14ac:dyDescent="0.35">
      <c r="G14" s="97">
        <v>0.1</v>
      </c>
      <c r="H14" s="1">
        <v>10000</v>
      </c>
    </row>
    <row r="15" spans="2:8" x14ac:dyDescent="0.35">
      <c r="F15" s="115" t="s">
        <v>22</v>
      </c>
      <c r="G15" s="92"/>
      <c r="H15" s="93">
        <f>G14*H14</f>
        <v>1000</v>
      </c>
    </row>
    <row r="16" spans="2:8" x14ac:dyDescent="0.35">
      <c r="H16" s="1">
        <f>H14-H15</f>
        <v>9000</v>
      </c>
    </row>
    <row r="17" spans="8:8" x14ac:dyDescent="0.35">
      <c r="H17" s="98">
        <v>0.05</v>
      </c>
    </row>
    <row r="18" spans="8:8" x14ac:dyDescent="0.35">
      <c r="H18" s="7">
        <f>H17*H16</f>
        <v>450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22FE-2B8F-40D0-BE2A-00ABD443E44F}">
  <dimension ref="D4:F7"/>
  <sheetViews>
    <sheetView workbookViewId="0">
      <selection activeCell="D8" sqref="D8"/>
    </sheetView>
  </sheetViews>
  <sheetFormatPr defaultRowHeight="14.5" x14ac:dyDescent="0.35"/>
  <cols>
    <col min="4" max="4" width="14.7265625" bestFit="1" customWidth="1"/>
  </cols>
  <sheetData>
    <row r="4" spans="4:6" x14ac:dyDescent="0.35">
      <c r="F4">
        <v>200000</v>
      </c>
    </row>
    <row r="5" spans="4:6" x14ac:dyDescent="0.35">
      <c r="F5" s="97">
        <v>0.05</v>
      </c>
    </row>
    <row r="6" spans="4:6" x14ac:dyDescent="0.35">
      <c r="E6" t="s">
        <v>77</v>
      </c>
      <c r="F6" s="8">
        <f>F5*F4</f>
        <v>10000</v>
      </c>
    </row>
    <row r="7" spans="4:6" x14ac:dyDescent="0.35">
      <c r="D7" t="s">
        <v>78</v>
      </c>
      <c r="E7" s="8" t="s">
        <v>76</v>
      </c>
      <c r="F7">
        <f>F4-F6</f>
        <v>190000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1964C-C8FF-4B4C-8A7D-275CE688E862}">
  <dimension ref="C2:E8"/>
  <sheetViews>
    <sheetView workbookViewId="0">
      <selection activeCell="G3" sqref="G3"/>
    </sheetView>
  </sheetViews>
  <sheetFormatPr defaultRowHeight="14.5" x14ac:dyDescent="0.35"/>
  <cols>
    <col min="3" max="3" width="1.81640625" bestFit="1" customWidth="1"/>
    <col min="4" max="4" width="31.81640625" customWidth="1"/>
    <col min="5" max="5" width="20.90625" customWidth="1"/>
  </cols>
  <sheetData>
    <row r="2" spans="3:5" x14ac:dyDescent="0.35">
      <c r="D2" t="s">
        <v>62</v>
      </c>
    </row>
    <row r="3" spans="3:5" x14ac:dyDescent="0.35">
      <c r="C3">
        <v>1</v>
      </c>
      <c r="D3" s="8" t="s">
        <v>54</v>
      </c>
      <c r="E3" t="s">
        <v>55</v>
      </c>
    </row>
    <row r="4" spans="3:5" x14ac:dyDescent="0.35">
      <c r="C4">
        <v>2</v>
      </c>
      <c r="D4" s="8" t="s">
        <v>56</v>
      </c>
      <c r="E4" t="s">
        <v>57</v>
      </c>
    </row>
    <row r="7" spans="3:5" x14ac:dyDescent="0.35">
      <c r="D7" t="s">
        <v>22</v>
      </c>
    </row>
    <row r="8" spans="3:5" x14ac:dyDescent="0.35">
      <c r="D8" t="s">
        <v>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9FD13-02C0-42CD-8E03-DDEFEE978847}">
  <dimension ref="A1:I17"/>
  <sheetViews>
    <sheetView workbookViewId="0">
      <selection activeCell="C16" sqref="C16"/>
    </sheetView>
  </sheetViews>
  <sheetFormatPr defaultRowHeight="14.5" x14ac:dyDescent="0.35"/>
  <cols>
    <col min="2" max="2" width="15.7265625" customWidth="1"/>
    <col min="4" max="4" width="11.453125" customWidth="1"/>
    <col min="5" max="5" width="14.1796875" style="1" customWidth="1"/>
    <col min="6" max="6" width="14.36328125" style="1" customWidth="1"/>
    <col min="7" max="7" width="17.26953125" style="92" customWidth="1"/>
  </cols>
  <sheetData>
    <row r="1" spans="1:9" x14ac:dyDescent="0.35">
      <c r="A1" s="104" t="s">
        <v>71</v>
      </c>
    </row>
    <row r="3" spans="1:9" ht="15" thickBot="1" x14ac:dyDescent="0.4">
      <c r="B3" t="s">
        <v>54</v>
      </c>
      <c r="D3" t="s">
        <v>58</v>
      </c>
    </row>
    <row r="4" spans="1:9" ht="16" x14ac:dyDescent="0.45">
      <c r="E4" s="7" t="s">
        <v>59</v>
      </c>
      <c r="F4" s="90" t="s">
        <v>34</v>
      </c>
      <c r="G4" s="94" t="s">
        <v>35</v>
      </c>
    </row>
    <row r="5" spans="1:9" x14ac:dyDescent="0.35">
      <c r="C5" s="1" t="s">
        <v>74</v>
      </c>
      <c r="D5" s="99" t="s">
        <v>60</v>
      </c>
      <c r="E5" s="100" t="s">
        <v>61</v>
      </c>
      <c r="F5" s="100" t="s">
        <v>61</v>
      </c>
      <c r="G5" s="101"/>
      <c r="H5" s="102"/>
    </row>
    <row r="6" spans="1:9" x14ac:dyDescent="0.35">
      <c r="D6" t="s">
        <v>63</v>
      </c>
      <c r="G6" s="95"/>
    </row>
    <row r="7" spans="1:9" ht="15" thickBot="1" x14ac:dyDescent="0.4">
      <c r="D7" s="91" t="s">
        <v>64</v>
      </c>
      <c r="E7" s="105">
        <v>10000</v>
      </c>
      <c r="F7" s="105">
        <v>50000</v>
      </c>
      <c r="G7" s="96" t="s">
        <v>65</v>
      </c>
    </row>
    <row r="8" spans="1:9" x14ac:dyDescent="0.35">
      <c r="D8" t="s">
        <v>72</v>
      </c>
    </row>
    <row r="10" spans="1:9" x14ac:dyDescent="0.35">
      <c r="B10" t="s">
        <v>66</v>
      </c>
    </row>
    <row r="11" spans="1:9" x14ac:dyDescent="0.35">
      <c r="E11" s="1" t="s">
        <v>67</v>
      </c>
      <c r="F11" s="1" t="s">
        <v>68</v>
      </c>
    </row>
    <row r="12" spans="1:9" x14ac:dyDescent="0.35">
      <c r="D12" s="99" t="s">
        <v>60</v>
      </c>
      <c r="E12" s="103">
        <v>0.06</v>
      </c>
      <c r="F12" s="100"/>
      <c r="G12" s="102"/>
      <c r="I12" t="s">
        <v>73</v>
      </c>
    </row>
    <row r="13" spans="1:9" x14ac:dyDescent="0.35">
      <c r="D13" t="s">
        <v>63</v>
      </c>
      <c r="E13" s="98">
        <v>0.05</v>
      </c>
    </row>
    <row r="14" spans="1:9" x14ac:dyDescent="0.35">
      <c r="D14" s="91" t="s">
        <v>64</v>
      </c>
      <c r="E14" s="98">
        <v>0.1</v>
      </c>
    </row>
    <row r="15" spans="1:9" x14ac:dyDescent="0.35">
      <c r="D15" t="s">
        <v>69</v>
      </c>
      <c r="E15" s="1" t="s">
        <v>70</v>
      </c>
      <c r="F15" s="1" t="s">
        <v>14</v>
      </c>
    </row>
    <row r="16" spans="1:9" x14ac:dyDescent="0.35">
      <c r="F16" s="1" t="s">
        <v>49</v>
      </c>
    </row>
    <row r="17" spans="6:6" x14ac:dyDescent="0.35">
      <c r="F17" s="1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BA50-81A4-4D7F-9AF0-E0F45A693BA7}">
  <dimension ref="B2:F7"/>
  <sheetViews>
    <sheetView workbookViewId="0">
      <selection activeCell="D7" sqref="D7"/>
    </sheetView>
  </sheetViews>
  <sheetFormatPr defaultRowHeight="14.5" x14ac:dyDescent="0.35"/>
  <sheetData>
    <row r="2" spans="2:6" x14ac:dyDescent="0.35">
      <c r="B2">
        <v>1</v>
      </c>
      <c r="C2" t="s">
        <v>33</v>
      </c>
      <c r="D2" t="s">
        <v>34</v>
      </c>
      <c r="E2" s="31"/>
      <c r="F2" t="s">
        <v>35</v>
      </c>
    </row>
    <row r="3" spans="2:6" x14ac:dyDescent="0.35">
      <c r="C3" t="s">
        <v>36</v>
      </c>
      <c r="D3" t="s">
        <v>37</v>
      </c>
      <c r="E3" t="s">
        <v>39</v>
      </c>
      <c r="F3" t="s">
        <v>38</v>
      </c>
    </row>
    <row r="5" spans="2:6" x14ac:dyDescent="0.35">
      <c r="B5">
        <v>2</v>
      </c>
      <c r="C5" t="s">
        <v>42</v>
      </c>
    </row>
    <row r="6" spans="2:6" x14ac:dyDescent="0.35">
      <c r="B6">
        <v>2.1</v>
      </c>
      <c r="C6" t="s">
        <v>22</v>
      </c>
    </row>
    <row r="7" spans="2:6" x14ac:dyDescent="0.35">
      <c r="B7">
        <v>2.2000000000000002</v>
      </c>
      <c r="C7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PaymentConfiguration</vt:lpstr>
      <vt:lpstr>Sheet10</vt:lpstr>
      <vt:lpstr>Sheet9</vt:lpstr>
      <vt:lpstr>18Jan</vt:lpstr>
      <vt:lpstr>Sheet1</vt:lpstr>
      <vt:lpstr>Sheet3</vt:lpstr>
      <vt:lpstr>15Jan</vt:lpstr>
      <vt:lpstr>Sheet6</vt:lpstr>
      <vt:lpstr>Sheet7</vt:lpstr>
      <vt:lpstr>Sheet5</vt:lpstr>
      <vt:lpstr>Sheet4</vt:lpstr>
      <vt:lpstr>SOLVConfig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Ankit Product</dc:creator>
  <cp:keywords/>
  <dc:description/>
  <cp:lastModifiedBy>Ankit Product</cp:lastModifiedBy>
  <cp:revision/>
  <dcterms:created xsi:type="dcterms:W3CDTF">2019-07-26T12:47:49Z</dcterms:created>
  <dcterms:modified xsi:type="dcterms:W3CDTF">2024-01-22T07:11:30Z</dcterms:modified>
  <cp:category/>
  <cp:contentStatus/>
</cp:coreProperties>
</file>